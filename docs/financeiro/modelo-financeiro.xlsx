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de Contas" sheetId="1" state="visible" r:id="rId1"/>
    <sheet name="DRE" sheetId="2" state="visible" r:id="rId2"/>
    <sheet name="Caixa 13 Sema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4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165" fontId="4" fillId="0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2" customWidth="1" min="3" max="3"/>
    <col width="20" customWidth="1" min="4" max="4"/>
  </cols>
  <sheetData>
    <row r="1">
      <c r="A1" s="1" t="inlineStr">
        <is>
          <t>Plano de contas — base mínima</t>
        </is>
      </c>
      <c r="B1" s="2" t="n"/>
      <c r="C1" s="2" t="n"/>
      <c r="D1" s="3" t="n"/>
    </row>
    <row r="2">
      <c r="A2" s="4" t="inlineStr">
        <is>
          <t>Referência — não requer preenchimento. Espelha docs/financeiro/plano-de-contas.md.</t>
        </is>
      </c>
    </row>
    <row r="4">
      <c r="A4" s="1" t="inlineStr">
        <is>
          <t>Conta</t>
        </is>
      </c>
      <c r="B4" s="1" t="inlineStr">
        <is>
          <t>Nome</t>
        </is>
      </c>
      <c r="C4" s="1" t="inlineStr">
        <is>
          <t>Definição</t>
        </is>
      </c>
      <c r="D4" s="1" t="inlineStr">
        <is>
          <t>Centro de custo</t>
        </is>
      </c>
    </row>
    <row r="5">
      <c r="A5" s="5" t="inlineStr">
        <is>
          <t>1</t>
        </is>
      </c>
      <c r="B5" s="5" t="inlineStr">
        <is>
          <t>RECEITA</t>
        </is>
      </c>
      <c r="C5" s="5" t="inlineStr"/>
      <c r="D5" s="5" t="inlineStr"/>
    </row>
    <row r="6">
      <c r="A6" s="6" t="inlineStr">
        <is>
          <t>1.1</t>
        </is>
      </c>
      <c r="B6" s="6" t="inlineStr">
        <is>
          <t>Receita de assinatura — Meridian</t>
        </is>
      </c>
      <c r="C6" s="6" t="inlineStr">
        <is>
          <t>Mensalidade do módulo Meridian contínuo (pós-diagnóstico), PrecoDeModulo</t>
        </is>
      </c>
      <c r="D6" s="6" t="inlineStr"/>
    </row>
    <row r="7">
      <c r="A7" s="6" t="inlineStr">
        <is>
          <t>1.2</t>
        </is>
      </c>
      <c r="B7" s="6" t="inlineStr">
        <is>
          <t>Receita de assinatura — Charter</t>
        </is>
      </c>
      <c r="C7" s="6" t="inlineStr">
        <is>
          <t>Mensalidade do módulo Charter</t>
        </is>
      </c>
      <c r="D7" s="6" t="inlineStr"/>
    </row>
    <row r="8">
      <c r="A8" s="6" t="inlineStr">
        <is>
          <t>1.3</t>
        </is>
      </c>
      <c r="B8" s="6" t="inlineStr">
        <is>
          <t>Receita de assinatura — Cosmos</t>
        </is>
      </c>
      <c r="C8" s="6" t="inlineStr">
        <is>
          <t>Mensalidade do assento de plataforma (Starter/Scale/Enterprise)</t>
        </is>
      </c>
      <c r="D8" s="6" t="inlineStr"/>
    </row>
    <row r="9">
      <c r="A9" s="6" t="inlineStr">
        <is>
          <t>1.4</t>
        </is>
      </c>
      <c r="B9" s="6" t="inlineStr">
        <is>
          <t>Receita de assinatura — Signal</t>
        </is>
      </c>
      <c r="C9" s="6" t="inlineStr">
        <is>
          <t>Mensalidade do módulo Signal, quando existir cobrança de fato</t>
        </is>
      </c>
      <c r="D9" s="6" t="inlineStr"/>
    </row>
    <row r="10">
      <c r="A10" s="6" t="inlineStr">
        <is>
          <t>1.5</t>
        </is>
      </c>
      <c r="B10" s="6" t="inlineStr">
        <is>
          <t>Receita de serviço — Meridian (diagnóstico)</t>
        </is>
      </c>
      <c r="C10" s="6" t="inlineStr">
        <is>
          <t>Ticket do diagnóstico de entrada, unidadeDeCobranca = 'PROJETO'</t>
        </is>
      </c>
      <c r="D10" s="6" t="inlineStr"/>
    </row>
    <row r="11">
      <c r="A11" s="6" t="inlineStr">
        <is>
          <t>1.6</t>
        </is>
      </c>
      <c r="B11" s="6" t="inlineStr">
        <is>
          <t>Receita de serviço — Scaffold</t>
        </is>
      </c>
      <c r="C11" s="6" t="inlineStr">
        <is>
          <t>Pacotes S/M/L de implementação, uma vez por engajamento</t>
        </is>
      </c>
      <c r="D11" s="6" t="inlineStr"/>
    </row>
    <row r="12">
      <c r="A12" s="6" t="inlineStr">
        <is>
          <t>1.7</t>
        </is>
      </c>
      <c r="B12" s="6" t="inlineStr">
        <is>
          <t>Receita de serviço — Charter (setup)</t>
        </is>
      </c>
      <c r="C12" s="6" t="inlineStr">
        <is>
          <t>Onboarding e configuração inicial do Charter, quando cobrado à parte</t>
        </is>
      </c>
      <c r="D12" s="6" t="inlineStr"/>
    </row>
    <row r="13">
      <c r="A13" s="6" t="inlineStr">
        <is>
          <t>1.8</t>
        </is>
      </c>
      <c r="B13" s="6" t="inlineStr">
        <is>
          <t>Receita de outros serviços</t>
        </is>
      </c>
      <c r="C13" s="6" t="inlineStr">
        <is>
          <t>Add-ons de projeto do catálogo que não pertencem a um produto específico</t>
        </is>
      </c>
      <c r="D13" s="6" t="inlineStr"/>
    </row>
    <row r="14">
      <c r="A14" s="5" t="inlineStr">
        <is>
          <t>2</t>
        </is>
      </c>
      <c r="B14" s="5" t="inlineStr">
        <is>
          <t>DEDUÇÕES DA RECEITA</t>
        </is>
      </c>
      <c r="C14" s="5" t="inlineStr"/>
      <c r="D14" s="5" t="inlineStr"/>
    </row>
    <row r="15">
      <c r="A15" s="6" t="inlineStr">
        <is>
          <t>2.1</t>
        </is>
      </c>
      <c r="B15" s="6" t="inlineStr">
        <is>
          <t>Impostos sobre serviço/receita</t>
        </is>
      </c>
      <c r="C15" s="6" t="inlineStr">
        <is>
          <t>Tributos que incidem sobre a nota fiscal emitida</t>
        </is>
      </c>
      <c r="D15" s="6" t="inlineStr"/>
    </row>
    <row r="16">
      <c r="A16" s="6" t="inlineStr">
        <is>
          <t>2.2</t>
        </is>
      </c>
      <c r="B16" s="6" t="inlineStr">
        <is>
          <t>Cancelamentos e estornos</t>
        </is>
      </c>
      <c r="C16" s="6" t="inlineStr">
        <is>
          <t>Receita reconhecida e depois revertida por cancelamento de contrato</t>
        </is>
      </c>
      <c r="D16" s="6" t="inlineStr"/>
    </row>
    <row r="17">
      <c r="A17" s="5" t="inlineStr">
        <is>
          <t>3</t>
        </is>
      </c>
      <c r="B17" s="5" t="inlineStr">
        <is>
          <t>CUSTO DE ENTREGA (CMV DE SERVIÇO)</t>
        </is>
      </c>
      <c r="C17" s="5" t="inlineStr"/>
      <c r="D17" s="5" t="inlineStr">
        <is>
          <t>Entrega</t>
        </is>
      </c>
    </row>
    <row r="18">
      <c r="A18" s="6" t="inlineStr">
        <is>
          <t>3.1</t>
        </is>
      </c>
      <c r="B18" s="6" t="inlineStr">
        <is>
          <t>Pessoal de entrega — Meridian</t>
        </is>
      </c>
      <c r="C18" s="6" t="inlineStr">
        <is>
          <t>Horas de quem faz diagnóstico e acompanhamento contínuo</t>
        </is>
      </c>
      <c r="D18" s="6" t="inlineStr">
        <is>
          <t>Entrega</t>
        </is>
      </c>
    </row>
    <row r="19">
      <c r="A19" s="6" t="inlineStr">
        <is>
          <t>3.2</t>
        </is>
      </c>
      <c r="B19" s="6" t="inlineStr">
        <is>
          <t>Pessoal de entrega — Scaffold</t>
        </is>
      </c>
      <c r="C19" s="6" t="inlineStr">
        <is>
          <t>Horas de quem executa os pacotes de implementação</t>
        </is>
      </c>
      <c r="D19" s="6" t="inlineStr">
        <is>
          <t>Entrega</t>
        </is>
      </c>
    </row>
    <row r="20">
      <c r="A20" s="6" t="inlineStr">
        <is>
          <t>3.3</t>
        </is>
      </c>
      <c r="B20" s="6" t="inlineStr">
        <is>
          <t>Pessoal de entrega — Charter/outros</t>
        </is>
      </c>
      <c r="C20" s="6" t="inlineStr">
        <is>
          <t>Horas de setup e suporte de entrega dos demais produtos</t>
        </is>
      </c>
      <c r="D20" s="6" t="inlineStr">
        <is>
          <t>Entrega</t>
        </is>
      </c>
    </row>
    <row r="21">
      <c r="A21" s="6" t="inlineStr">
        <is>
          <t>3.4</t>
        </is>
      </c>
      <c r="B21" s="6" t="inlineStr">
        <is>
          <t>Terceiros e subcontratados de entrega</t>
        </is>
      </c>
      <c r="C21" s="6" t="inlineStr">
        <is>
          <t>Especialista externo alocado em engajamento</t>
        </is>
      </c>
      <c r="D21" s="6" t="inlineStr">
        <is>
          <t>Entrega</t>
        </is>
      </c>
    </row>
    <row r="22">
      <c r="A22" s="6" t="inlineStr">
        <is>
          <t>3.5</t>
        </is>
      </c>
      <c r="B22" s="6" t="inlineStr">
        <is>
          <t>Ferramentas de entrega</t>
        </is>
      </c>
      <c r="C22" s="6" t="inlineStr">
        <is>
          <t>Software usado só na execução do serviço</t>
        </is>
      </c>
      <c r="D22" s="6" t="inlineStr">
        <is>
          <t>Entrega</t>
        </is>
      </c>
    </row>
    <row r="23">
      <c r="A23" s="5" t="inlineStr">
        <is>
          <t>4</t>
        </is>
      </c>
      <c r="B23" s="5" t="inlineStr">
        <is>
          <t>DESPESAS COMERCIAIS</t>
        </is>
      </c>
      <c r="C23" s="5" t="inlineStr"/>
      <c r="D23" s="5" t="inlineStr">
        <is>
          <t>Comercial</t>
        </is>
      </c>
    </row>
    <row r="24">
      <c r="A24" s="6" t="inlineStr">
        <is>
          <t>4.1</t>
        </is>
      </c>
      <c r="B24" s="6" t="inlineStr">
        <is>
          <t>Pessoal de vendas</t>
        </is>
      </c>
      <c r="C24" s="6" t="inlineStr">
        <is>
          <t>Salário e encargos de quem vende</t>
        </is>
      </c>
      <c r="D24" s="6" t="inlineStr">
        <is>
          <t>Comercial</t>
        </is>
      </c>
    </row>
    <row r="25">
      <c r="A25" s="6" t="inlineStr">
        <is>
          <t>4.2</t>
        </is>
      </c>
      <c r="B25" s="6" t="inlineStr">
        <is>
          <t>Pessoal de marketing</t>
        </is>
      </c>
      <c r="C25" s="6" t="inlineStr">
        <is>
          <t>Salário e encargos de quem faz marketing</t>
        </is>
      </c>
      <c r="D25" s="6" t="inlineStr">
        <is>
          <t>Comercial</t>
        </is>
      </c>
    </row>
    <row r="26">
      <c r="A26" s="6" t="inlineStr">
        <is>
          <t>4.3</t>
        </is>
      </c>
      <c r="B26" s="6" t="inlineStr">
        <is>
          <t>Comissões</t>
        </is>
      </c>
      <c r="C26" s="6" t="inlineStr">
        <is>
          <t>Comissão variável paga sobre proposta ACEITA</t>
        </is>
      </c>
      <c r="D26" s="6" t="inlineStr">
        <is>
          <t>Comercial</t>
        </is>
      </c>
    </row>
    <row r="27">
      <c r="A27" s="6" t="inlineStr">
        <is>
          <t>4.4</t>
        </is>
      </c>
      <c r="B27" s="6" t="inlineStr">
        <is>
          <t>Ferramentas de vendas e marketing</t>
        </is>
      </c>
      <c r="C27" s="6" t="inlineStr">
        <is>
          <t>CRM, automação, gravação de call, enriquecimento de lead</t>
        </is>
      </c>
      <c r="D27" s="6" t="inlineStr">
        <is>
          <t>Comercial</t>
        </is>
      </c>
    </row>
    <row r="28">
      <c r="A28" s="6" t="inlineStr">
        <is>
          <t>4.5</t>
        </is>
      </c>
      <c r="B28" s="6" t="inlineStr">
        <is>
          <t>Mídia paga</t>
        </is>
      </c>
      <c r="C28" s="6" t="inlineStr">
        <is>
          <t>Anúncio, evento, patrocínio, conteúdo pago</t>
        </is>
      </c>
      <c r="D28" s="6" t="inlineStr">
        <is>
          <t>Comercial</t>
        </is>
      </c>
    </row>
    <row r="29">
      <c r="A29" s="6" t="inlineStr">
        <is>
          <t>4.6</t>
        </is>
      </c>
      <c r="B29" s="6" t="inlineStr">
        <is>
          <t>Discovery não faturado</t>
        </is>
      </c>
      <c r="C29" s="6" t="inlineStr">
        <is>
          <t>Horas de discovery (convertido e não convertido) a custo-hora</t>
        </is>
      </c>
      <c r="D29" s="6" t="inlineStr">
        <is>
          <t>Comercial</t>
        </is>
      </c>
    </row>
    <row r="30">
      <c r="A30" s="5" t="inlineStr">
        <is>
          <t>5</t>
        </is>
      </c>
      <c r="B30" s="5" t="inlineStr">
        <is>
          <t>DESPESAS DE PRODUTO/ENGENHARIA</t>
        </is>
      </c>
      <c r="C30" s="5" t="inlineStr"/>
      <c r="D30" s="5" t="inlineStr">
        <is>
          <t>Produto/engenharia</t>
        </is>
      </c>
    </row>
    <row r="31">
      <c r="A31" s="6" t="inlineStr">
        <is>
          <t>5.1</t>
        </is>
      </c>
      <c r="B31" s="6" t="inlineStr">
        <is>
          <t>Pessoal de engenharia e produto</t>
        </is>
      </c>
      <c r="C31" s="6" t="inlineStr">
        <is>
          <t>Salário e encargos de quem constrói e mantém a plataforma</t>
        </is>
      </c>
      <c r="D31" s="6" t="inlineStr">
        <is>
          <t>Produto/engenharia</t>
        </is>
      </c>
    </row>
    <row r="32">
      <c r="A32" s="6" t="inlineStr">
        <is>
          <t>5.2</t>
        </is>
      </c>
      <c r="B32" s="6" t="inlineStr">
        <is>
          <t>Infraestrutura</t>
        </is>
      </c>
      <c r="C32" s="6" t="inlineStr">
        <is>
          <t>Hospedagem, banco de dados, serviços gerenciados</t>
        </is>
      </c>
      <c r="D32" s="6" t="inlineStr">
        <is>
          <t>Produto/engenharia</t>
        </is>
      </c>
    </row>
    <row r="33">
      <c r="A33" s="6" t="inlineStr">
        <is>
          <t>5.3</t>
        </is>
      </c>
      <c r="B33" s="6" t="inlineStr">
        <is>
          <t>Ferramentas de engenharia</t>
        </is>
      </c>
      <c r="C33" s="6" t="inlineStr">
        <is>
          <t>Licenças de desenvolvimento, observabilidade, CI</t>
        </is>
      </c>
      <c r="D33" s="6" t="inlineStr">
        <is>
          <t>Produto/engenharia</t>
        </is>
      </c>
    </row>
    <row r="34">
      <c r="A34" s="5" t="inlineStr">
        <is>
          <t>6</t>
        </is>
      </c>
      <c r="B34" s="5" t="inlineStr">
        <is>
          <t>DESPESAS GERAIS E ADMINISTRATIVAS (G&amp;A)</t>
        </is>
      </c>
      <c r="C34" s="5" t="inlineStr"/>
      <c r="D34" s="5" t="inlineStr">
        <is>
          <t>G&amp;A</t>
        </is>
      </c>
    </row>
    <row r="35">
      <c r="A35" s="6" t="inlineStr">
        <is>
          <t>6.1</t>
        </is>
      </c>
      <c r="B35" s="6" t="inlineStr">
        <is>
          <t>Pessoal de liderança e administrativo</t>
        </is>
      </c>
      <c r="C35" s="6" t="inlineStr">
        <is>
          <t>Salário e encargos de quem não está em comercial, entrega ou engenharia</t>
        </is>
      </c>
      <c r="D35" s="6" t="inlineStr">
        <is>
          <t>G&amp;A</t>
        </is>
      </c>
    </row>
    <row r="36">
      <c r="A36" s="6" t="inlineStr">
        <is>
          <t>6.2</t>
        </is>
      </c>
      <c r="B36" s="6" t="inlineStr">
        <is>
          <t>Jurídico e contábil</t>
        </is>
      </c>
      <c r="C36" s="6" t="inlineStr">
        <is>
          <t>Honorários de escritório jurídico e contábil</t>
        </is>
      </c>
      <c r="D36" s="6" t="inlineStr">
        <is>
          <t>G&amp;A</t>
        </is>
      </c>
    </row>
    <row r="37">
      <c r="A37" s="6" t="inlineStr">
        <is>
          <t>6.3</t>
        </is>
      </c>
      <c r="B37" s="6" t="inlineStr">
        <is>
          <t>Escritório e outras despesas</t>
        </is>
      </c>
      <c r="C37" s="6" t="inlineStr">
        <is>
          <t>Aluguel, assinaturas administrativas, despesas não classificadas acima</t>
        </is>
      </c>
      <c r="D37" s="6" t="inlineStr">
        <is>
          <t>G&amp;A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DRE mensal — modelo (por competência)</t>
        </is>
      </c>
      <c r="B1" s="2" t="n"/>
      <c r="C1" s="2" t="n"/>
      <c r="D1" s="2" t="n"/>
      <c r="E1" s="3" t="n"/>
    </row>
    <row r="2">
      <c r="A2" s="4" t="inlineStr">
        <is>
          <t>Amarelo = preencher. Cinza = total calculado por fórmula. Espelha docs/financeiro/dre-modelo.md.</t>
        </is>
      </c>
    </row>
    <row r="4">
      <c r="A4" s="1" t="inlineStr">
        <is>
          <t>Linha</t>
        </is>
      </c>
      <c r="B4" s="1" t="inlineStr">
        <is>
          <t>Definição</t>
        </is>
      </c>
      <c r="C4" s="1" t="inlineStr">
        <is>
          <t>Mês 1</t>
        </is>
      </c>
      <c r="D4" s="1" t="inlineStr">
        <is>
          <t>Mês 2</t>
        </is>
      </c>
      <c r="E4" s="1" t="inlineStr">
        <is>
          <t>Mês 3</t>
        </is>
      </c>
    </row>
    <row r="5">
      <c r="A5" s="5" t="inlineStr">
        <is>
          <t>Receita por frente</t>
        </is>
      </c>
      <c r="B5" s="5" t="inlineStr"/>
      <c r="C5" s="5" t="n"/>
      <c r="D5" s="5" t="n"/>
      <c r="E5" s="5" t="n"/>
    </row>
    <row r="6">
      <c r="A6" s="6" t="inlineStr">
        <is>
          <t>Assinatura — Meridian (1.1)</t>
        </is>
      </c>
      <c r="B6" s="6" t="inlineStr">
        <is>
          <t>Mensalidade do Meridian contínuo faturada no mês</t>
        </is>
      </c>
      <c r="C6" s="7" t="n"/>
      <c r="D6" s="7" t="n"/>
      <c r="E6" s="7" t="n"/>
    </row>
    <row r="7">
      <c r="A7" s="6" t="inlineStr">
        <is>
          <t>Assinatura — Charter (1.2)</t>
        </is>
      </c>
      <c r="B7" s="6" t="inlineStr">
        <is>
          <t>Mensalidade do Charter faturada no mês</t>
        </is>
      </c>
      <c r="C7" s="7" t="n"/>
      <c r="D7" s="7" t="n"/>
      <c r="E7" s="7" t="n"/>
    </row>
    <row r="8">
      <c r="A8" s="6" t="inlineStr">
        <is>
          <t>Assinatura — Cosmos (1.3)</t>
        </is>
      </c>
      <c r="B8" s="6" t="inlineStr">
        <is>
          <t>Mensalidade de plataforma faturada no mês</t>
        </is>
      </c>
      <c r="C8" s="7" t="n"/>
      <c r="D8" s="7" t="n"/>
      <c r="E8" s="7" t="n"/>
    </row>
    <row r="9">
      <c r="A9" s="6" t="inlineStr">
        <is>
          <t>Assinatura — Signal (1.4)</t>
        </is>
      </c>
      <c r="B9" s="6" t="inlineStr">
        <is>
          <t>Mensalidade do Signal faturada no mês</t>
        </is>
      </c>
      <c r="C9" s="7" t="n"/>
      <c r="D9" s="7" t="n"/>
      <c r="E9" s="7" t="n"/>
    </row>
    <row r="10">
      <c r="A10" s="6" t="inlineStr">
        <is>
          <t>Serviço — Meridian (1.5)</t>
        </is>
      </c>
      <c r="B10" s="6" t="inlineStr">
        <is>
          <t>Diagnósticos reconhecidos no mês</t>
        </is>
      </c>
      <c r="C10" s="7" t="n"/>
      <c r="D10" s="7" t="n"/>
      <c r="E10" s="7" t="n"/>
    </row>
    <row r="11">
      <c r="A11" s="6" t="inlineStr">
        <is>
          <t>Serviço — Scaffold (1.6)</t>
        </is>
      </c>
      <c r="B11" s="6" t="inlineStr">
        <is>
          <t>Pacotes reconhecidos no mês</t>
        </is>
      </c>
      <c r="C11" s="7" t="n"/>
      <c r="D11" s="7" t="n"/>
      <c r="E11" s="7" t="n"/>
    </row>
    <row r="12">
      <c r="A12" s="6" t="inlineStr">
        <is>
          <t>Serviço — Charter/outros (1.7+1.8)</t>
        </is>
      </c>
      <c r="B12" s="6" t="inlineStr">
        <is>
          <t>Setup e add-ons de projeto reconhecidos no mês</t>
        </is>
      </c>
      <c r="C12" s="7" t="n"/>
      <c r="D12" s="7" t="n"/>
      <c r="E12" s="7" t="n"/>
    </row>
    <row r="13">
      <c r="A13" s="8" t="inlineStr">
        <is>
          <t>Receita bruta total</t>
        </is>
      </c>
      <c r="B13" s="6" t="inlineStr">
        <is>
          <t>Soma das linhas de receita acima</t>
        </is>
      </c>
      <c r="C13" s="9">
        <f>SUM(C6:C12)</f>
        <v/>
      </c>
      <c r="D13" s="9">
        <f>SUM(D6:D12)</f>
        <v/>
      </c>
      <c r="E13" s="9">
        <f>SUM(E6:E12)</f>
        <v/>
      </c>
    </row>
    <row r="14">
      <c r="A14" s="6" t="inlineStr">
        <is>
          <t>Deduções (2.1+2.2)</t>
        </is>
      </c>
      <c r="B14" s="6" t="inlineStr">
        <is>
          <t>Impostos sobre receita e cancelamentos do mês</t>
        </is>
      </c>
      <c r="C14" s="7" t="n"/>
      <c r="D14" s="7" t="n"/>
      <c r="E14" s="7" t="n"/>
    </row>
    <row r="15">
      <c r="A15" s="8" t="inlineStr">
        <is>
          <t>Receita líquida</t>
        </is>
      </c>
      <c r="B15" s="6" t="inlineStr">
        <is>
          <t>Receita bruta menos deduções</t>
        </is>
      </c>
      <c r="C15" s="9">
        <f>C13-C14</f>
        <v/>
      </c>
      <c r="D15" s="9">
        <f>D13-D14</f>
        <v/>
      </c>
      <c r="E15" s="9">
        <f>E13-E14</f>
        <v/>
      </c>
    </row>
    <row r="17">
      <c r="A17" s="5" t="inlineStr">
        <is>
          <t>Custo de entrega e margem bruta</t>
        </is>
      </c>
      <c r="B17" s="5" t="inlineStr"/>
      <c r="C17" s="5" t="n"/>
      <c r="D17" s="5" t="n"/>
      <c r="E17" s="5" t="n"/>
    </row>
    <row r="18">
      <c r="A18" s="6" t="inlineStr">
        <is>
          <t>Custo de entrega — Meridian (3.1)</t>
        </is>
      </c>
      <c r="B18" s="6" t="inlineStr">
        <is>
          <t>Custo direto de diagnóstico e acompanhamento</t>
        </is>
      </c>
      <c r="C18" s="7" t="n"/>
      <c r="D18" s="7" t="n"/>
      <c r="E18" s="7" t="n"/>
    </row>
    <row r="19">
      <c r="A19" s="6" t="inlineStr">
        <is>
          <t>Custo de entrega — Scaffold (3.2)</t>
        </is>
      </c>
      <c r="B19" s="6" t="inlineStr">
        <is>
          <t>Custo direto dos pacotes executados</t>
        </is>
      </c>
      <c r="C19" s="7" t="n"/>
      <c r="D19" s="7" t="n"/>
      <c r="E19" s="7" t="n"/>
    </row>
    <row r="20">
      <c r="A20" s="6" t="inlineStr">
        <is>
          <t>Custo de entrega — Charter/outros (3.3–3.5)</t>
        </is>
      </c>
      <c r="B20" s="6" t="inlineStr">
        <is>
          <t>Custo direto de setup, terceiros e ferramentas de entrega</t>
        </is>
      </c>
      <c r="C20" s="7" t="n"/>
      <c r="D20" s="7" t="n"/>
      <c r="E20" s="7" t="n"/>
    </row>
    <row r="21">
      <c r="A21" s="8" t="inlineStr">
        <is>
          <t>Custo de entrega total</t>
        </is>
      </c>
      <c r="B21" s="6" t="inlineStr">
        <is>
          <t>Soma das linhas de custo de entrega acima</t>
        </is>
      </c>
      <c r="C21" s="9">
        <f>SUM(C18:C20)</f>
        <v/>
      </c>
      <c r="D21" s="9">
        <f>SUM(D18:D20)</f>
        <v/>
      </c>
      <c r="E21" s="9">
        <f>SUM(E18:E20)</f>
        <v/>
      </c>
    </row>
    <row r="22">
      <c r="A22" s="8" t="inlineStr">
        <is>
          <t>Margem bruta</t>
        </is>
      </c>
      <c r="B22" s="6" t="inlineStr">
        <is>
          <t>Receita líquida menos custo de entrega total</t>
        </is>
      </c>
      <c r="C22" s="9">
        <f>C15-C21</f>
        <v/>
      </c>
      <c r="D22" s="9">
        <f>D15-D21</f>
        <v/>
      </c>
      <c r="E22" s="9">
        <f>E15-E21</f>
        <v/>
      </c>
    </row>
    <row r="23">
      <c r="A23" s="6" t="inlineStr">
        <is>
          <t>Margem bruta %</t>
        </is>
      </c>
      <c r="B23" s="6" t="inlineStr">
        <is>
          <t>Margem bruta ÷ receita líquida</t>
        </is>
      </c>
      <c r="C23" s="10">
        <f>IFERROR(C22/C15,0)</f>
        <v/>
      </c>
      <c r="D23" s="10">
        <f>IFERROR(D22/D15,0)</f>
        <v/>
      </c>
      <c r="E23" s="10">
        <f>IFERROR(E22/E15,0)</f>
        <v/>
      </c>
    </row>
    <row r="25">
      <c r="A25" s="5" t="inlineStr">
        <is>
          <t>Despesas por centro de custo</t>
        </is>
      </c>
      <c r="B25" s="5" t="inlineStr"/>
      <c r="C25" s="5" t="n"/>
      <c r="D25" s="5" t="n"/>
      <c r="E25" s="5" t="n"/>
    </row>
    <row r="26">
      <c r="A26" s="6" t="inlineStr">
        <is>
          <t>Comercial (4.1–4.6)</t>
        </is>
      </c>
      <c r="B26" s="6" t="inlineStr">
        <is>
          <t>Pessoal, comissão, ferramentas, mídia e discovery não faturado do mês</t>
        </is>
      </c>
      <c r="C26" s="7" t="n"/>
      <c r="D26" s="7" t="n"/>
      <c r="E26" s="7" t="n"/>
    </row>
    <row r="27">
      <c r="A27" s="6" t="inlineStr">
        <is>
          <t>Produto/engenharia (5.1–5.3)</t>
        </is>
      </c>
      <c r="B27" s="6" t="inlineStr">
        <is>
          <t>Pessoal, infraestrutura e ferramentas de engenharia do mês</t>
        </is>
      </c>
      <c r="C27" s="7" t="n"/>
      <c r="D27" s="7" t="n"/>
      <c r="E27" s="7" t="n"/>
    </row>
    <row r="28">
      <c r="A28" s="6" t="inlineStr">
        <is>
          <t>G&amp;A (6.1–6.3)</t>
        </is>
      </c>
      <c r="B28" s="6" t="inlineStr">
        <is>
          <t>Pessoal administrativo, jurídico/contábil e escritório do mês</t>
        </is>
      </c>
      <c r="C28" s="7" t="n"/>
      <c r="D28" s="7" t="n"/>
      <c r="E28" s="7" t="n"/>
    </row>
    <row r="29">
      <c r="A29" s="8" t="inlineStr">
        <is>
          <t>Despesas totais</t>
        </is>
      </c>
      <c r="B29" s="6" t="inlineStr">
        <is>
          <t>Soma das três linhas de despesa acima</t>
        </is>
      </c>
      <c r="C29" s="9">
        <f>SUM(C26:C28)</f>
        <v/>
      </c>
      <c r="D29" s="9">
        <f>SUM(D26:D28)</f>
        <v/>
      </c>
      <c r="E29" s="9">
        <f>SUM(E26:E28)</f>
        <v/>
      </c>
    </row>
    <row r="31">
      <c r="A31" s="5" t="inlineStr">
        <is>
          <t>Resultado</t>
        </is>
      </c>
      <c r="B31" s="5" t="inlineStr"/>
      <c r="C31" s="5" t="n"/>
      <c r="D31" s="5" t="n"/>
      <c r="E31" s="5" t="n"/>
    </row>
    <row r="32">
      <c r="A32" s="8" t="inlineStr">
        <is>
          <t>EBITDA</t>
        </is>
      </c>
      <c r="B32" s="6" t="inlineStr">
        <is>
          <t>Margem bruta menos despesas totais</t>
        </is>
      </c>
      <c r="C32" s="9">
        <f>C22-C29</f>
        <v/>
      </c>
      <c r="D32" s="9">
        <f>D22-D29</f>
        <v/>
      </c>
      <c r="E32" s="9">
        <f>E22-E29</f>
        <v/>
      </c>
    </row>
    <row r="33">
      <c r="A33" s="6" t="inlineStr">
        <is>
          <t>EBITDA %</t>
        </is>
      </c>
      <c r="B33" s="6" t="inlineStr">
        <is>
          <t>EBITDA ÷ receita líquida</t>
        </is>
      </c>
      <c r="C33" s="10">
        <f>IFERROR(C32/C15,0)</f>
        <v/>
      </c>
      <c r="D33" s="10">
        <f>IFERROR(D32/D15,0)</f>
        <v/>
      </c>
      <c r="E33" s="10">
        <f>IFERROR(E32/E15,0)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Caixa de 13 semanas — forecast rolante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Amarelo = preencher. Cinza = calculado por fórmula. Espelha docs/financeiro/caixa-13-semanas.md.</t>
        </is>
      </c>
    </row>
    <row r="4">
      <c r="A4" s="1" t="inlineStr">
        <is>
          <t>Linha</t>
        </is>
      </c>
      <c r="B4" s="1" t="inlineStr">
        <is>
          <t>Semana 1</t>
        </is>
      </c>
      <c r="C4" s="1" t="inlineStr">
        <is>
          <t>Semana 2</t>
        </is>
      </c>
      <c r="D4" s="1" t="inlineStr">
        <is>
          <t>Semana 3</t>
        </is>
      </c>
      <c r="E4" s="1" t="inlineStr">
        <is>
          <t>Semana 4</t>
        </is>
      </c>
      <c r="F4" s="1" t="inlineStr">
        <is>
          <t>Semana 5</t>
        </is>
      </c>
      <c r="G4" s="1" t="inlineStr">
        <is>
          <t>Semana 6</t>
        </is>
      </c>
      <c r="H4" s="1" t="inlineStr">
        <is>
          <t>Semana 7</t>
        </is>
      </c>
      <c r="I4" s="1" t="inlineStr">
        <is>
          <t>Semana 8</t>
        </is>
      </c>
      <c r="J4" s="1" t="inlineStr">
        <is>
          <t>Semana 9</t>
        </is>
      </c>
      <c r="K4" s="1" t="inlineStr">
        <is>
          <t>Semana 10</t>
        </is>
      </c>
      <c r="L4" s="1" t="inlineStr">
        <is>
          <t>Semana 11</t>
        </is>
      </c>
      <c r="M4" s="1" t="inlineStr">
        <is>
          <t>Semana 12</t>
        </is>
      </c>
      <c r="N4" s="1" t="inlineStr">
        <is>
          <t>Semana 13</t>
        </is>
      </c>
    </row>
    <row r="5">
      <c r="A5" s="8" t="inlineStr">
        <is>
          <t>Saldo inicial</t>
        </is>
      </c>
      <c r="B5" s="11" t="n"/>
      <c r="C5" s="9">
        <f>B16</f>
        <v/>
      </c>
      <c r="D5" s="9">
        <f>C16</f>
        <v/>
      </c>
      <c r="E5" s="9">
        <f>D16</f>
        <v/>
      </c>
      <c r="F5" s="9">
        <f>E16</f>
        <v/>
      </c>
      <c r="G5" s="9">
        <f>F16</f>
        <v/>
      </c>
      <c r="H5" s="9">
        <f>G16</f>
        <v/>
      </c>
      <c r="I5" s="9">
        <f>H16</f>
        <v/>
      </c>
      <c r="J5" s="9">
        <f>I16</f>
        <v/>
      </c>
      <c r="K5" s="9">
        <f>J16</f>
        <v/>
      </c>
      <c r="L5" s="9">
        <f>K16</f>
        <v/>
      </c>
      <c r="M5" s="9">
        <f>L16</f>
        <v/>
      </c>
      <c r="N5" s="9">
        <f>M16</f>
        <v/>
      </c>
    </row>
    <row r="6">
      <c r="A6" s="6" t="inlineStr">
        <is>
          <t>Entradas — recebíveis previstos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6" t="inlineStr">
        <is>
          <t>Entradas — contratos assinados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6" t="inlineStr">
        <is>
          <t>Entradas — pipeline ponderado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8" t="inlineStr">
        <is>
          <t>Total de entradas</t>
        </is>
      </c>
      <c r="B9" s="9">
        <f>SUM(B6:B8)</f>
        <v/>
      </c>
      <c r="C9" s="9">
        <f>SUM(C6:C8)</f>
        <v/>
      </c>
      <c r="D9" s="9">
        <f>SUM(D6:D8)</f>
        <v/>
      </c>
      <c r="E9" s="9">
        <f>SUM(E6:E8)</f>
        <v/>
      </c>
      <c r="F9" s="9">
        <f>SUM(F6:F8)</f>
        <v/>
      </c>
      <c r="G9" s="9">
        <f>SUM(G6:G8)</f>
        <v/>
      </c>
      <c r="H9" s="9">
        <f>SUM(H6:H8)</f>
        <v/>
      </c>
      <c r="I9" s="9">
        <f>SUM(I6:I8)</f>
        <v/>
      </c>
      <c r="J9" s="9">
        <f>SUM(J6:J8)</f>
        <v/>
      </c>
      <c r="K9" s="9">
        <f>SUM(K6:K8)</f>
        <v/>
      </c>
      <c r="L9" s="9">
        <f>SUM(L6:L8)</f>
        <v/>
      </c>
      <c r="M9" s="9">
        <f>SUM(M6:M8)</f>
        <v/>
      </c>
      <c r="N9" s="9">
        <f>SUM(N6:N8)</f>
        <v/>
      </c>
    </row>
    <row r="10">
      <c r="A10" s="6" t="inlineStr">
        <is>
          <t>Saídas — pessoal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6" t="inlineStr">
        <is>
          <t>Saídas — fornecedores e ferramentas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6" t="inlineStr">
        <is>
          <t>Saídas — comercial (mídia, comissão)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6" t="inlineStr">
        <is>
          <t>Saídas — impostos e obrigações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6" t="inlineStr">
        <is>
          <t>Saídas — outras (jurídico, escritório)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8" t="inlineStr">
        <is>
          <t>Total de saídas</t>
        </is>
      </c>
      <c r="B15" s="9">
        <f>SUM(B10:B14)</f>
        <v/>
      </c>
      <c r="C15" s="9">
        <f>SUM(C10:C14)</f>
        <v/>
      </c>
      <c r="D15" s="9">
        <f>SUM(D10:D14)</f>
        <v/>
      </c>
      <c r="E15" s="9">
        <f>SUM(E10:E14)</f>
        <v/>
      </c>
      <c r="F15" s="9">
        <f>SUM(F10:F14)</f>
        <v/>
      </c>
      <c r="G15" s="9">
        <f>SUM(G10:G14)</f>
        <v/>
      </c>
      <c r="H15" s="9">
        <f>SUM(H10:H14)</f>
        <v/>
      </c>
      <c r="I15" s="9">
        <f>SUM(I10:I14)</f>
        <v/>
      </c>
      <c r="J15" s="9">
        <f>SUM(J10:J14)</f>
        <v/>
      </c>
      <c r="K15" s="9">
        <f>SUM(K10:K14)</f>
        <v/>
      </c>
      <c r="L15" s="9">
        <f>SUM(L10:L14)</f>
        <v/>
      </c>
      <c r="M15" s="9">
        <f>SUM(M10:M14)</f>
        <v/>
      </c>
      <c r="N15" s="9">
        <f>SUM(N10:N14)</f>
        <v/>
      </c>
    </row>
    <row r="16">
      <c r="A16" s="8" t="inlineStr">
        <is>
          <t>Saldo final</t>
        </is>
      </c>
      <c r="B16" s="9">
        <f>B5+B9-B15</f>
        <v/>
      </c>
      <c r="C16" s="9">
        <f>C5+C9-C15</f>
        <v/>
      </c>
      <c r="D16" s="9">
        <f>D5+D9-D15</f>
        <v/>
      </c>
      <c r="E16" s="9">
        <f>E5+E9-E15</f>
        <v/>
      </c>
      <c r="F16" s="9">
        <f>F5+F9-F15</f>
        <v/>
      </c>
      <c r="G16" s="9">
        <f>G5+G9-G15</f>
        <v/>
      </c>
      <c r="H16" s="9">
        <f>H5+H9-H15</f>
        <v/>
      </c>
      <c r="I16" s="9">
        <f>I5+I9-I15</f>
        <v/>
      </c>
      <c r="J16" s="9">
        <f>J5+J9-J15</f>
        <v/>
      </c>
      <c r="K16" s="9">
        <f>K5+K9-K15</f>
        <v/>
      </c>
      <c r="L16" s="9">
        <f>L5+L9-L15</f>
        <v/>
      </c>
      <c r="M16" s="9">
        <f>M5+M9-M15</f>
        <v/>
      </c>
      <c r="N16" s="9">
        <f>N5+N9-N15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2026-09-05T18:12:01Z</dcterms:created>
  <dcterms:modified xsi:type="dcterms:W3CDTF">2026-09-05T18:12:01Z</dcterms:modified>
</cp:coreProperties>
</file>